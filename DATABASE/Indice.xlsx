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ckson\Documents\Pós graduação\Hands on\"/>
    </mc:Choice>
  </mc:AlternateContent>
  <xr:revisionPtr revIDLastSave="0" documentId="13_ncr:1_{9B17CDF6-1588-4017-A595-A298C0AD1C95}" xr6:coauthVersionLast="47" xr6:coauthVersionMax="47" xr10:uidLastSave="{00000000-0000-0000-0000-000000000000}"/>
  <bookViews>
    <workbookView xWindow="-108" yWindow="-108" windowWidth="23256" windowHeight="12456" xr2:uid="{90DE6FB9-1669-4387-9996-E2C17CFEEFC1}"/>
  </bookViews>
  <sheets>
    <sheet name="INDICE" sheetId="1" r:id="rId1"/>
    <sheet name="IBOVESPA_1994_2020" sheetId="11" r:id="rId2"/>
    <sheet name="TICKER_LIST" sheetId="10" r:id="rId3"/>
    <sheet name="EVOLUCAO_Mensal_IBOVESPA" sheetId="9" r:id="rId4"/>
    <sheet name="DADOS_PIB_SETOR" sheetId="8" r:id="rId5"/>
    <sheet name="DICIONARIO_SIGLAS_PIB" sheetId="7" r:id="rId6"/>
    <sheet name="TAXA_DE_CAMBIO_DOLAR" sheetId="5" r:id="rId7"/>
    <sheet name="IBC-Br dessazonalizado" sheetId="2" r:id="rId8"/>
    <sheet name="SELIC" sheetId="4" r:id="rId9"/>
    <sheet name="DADOS_IPCA" sheetId="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<sst xmlns="http://schemas.openxmlformats.org/spreadsheetml/2006/main" count="291" uniqueCount="128">
  <si>
    <t>#</t>
  </si>
  <si>
    <t>Fonte</t>
  </si>
  <si>
    <t>Papel</t>
  </si>
  <si>
    <t>BCB</t>
  </si>
  <si>
    <t>Abrir IBC-Br</t>
  </si>
  <si>
    <t>Atividade econômica</t>
  </si>
  <si>
    <t>Abrir Selic – SGS 432</t>
  </si>
  <si>
    <t>Juros</t>
  </si>
  <si>
    <t>Abrir Dólar – SGS 1</t>
  </si>
  <si>
    <t>Câmbio</t>
  </si>
  <si>
    <t>IBGE</t>
  </si>
  <si>
    <t>Abrir IPCA – tabela 7060</t>
  </si>
  <si>
    <t>Inflação</t>
  </si>
  <si>
    <t>Abrir PIB – tabela 6784</t>
  </si>
  <si>
    <t>Crescimento</t>
  </si>
  <si>
    <t>B3</t>
  </si>
  <si>
    <t>Abrir Ibovespa</t>
  </si>
  <si>
    <t>Target</t>
  </si>
  <si>
    <t>Detalhes</t>
  </si>
  <si>
    <t>O IBC-Br dessazonalizado é a série do Índice de Atividade Econômica do Banco Central do Brasil que retira as influências sazonais do calendário para mostrar a tendência real da economia</t>
  </si>
  <si>
    <t>Tipo</t>
  </si>
  <si>
    <t>data</t>
  </si>
  <si>
    <t>Nome</t>
  </si>
  <si>
    <t>A</t>
  </si>
  <si>
    <t>B</t>
  </si>
  <si>
    <t>C</t>
  </si>
  <si>
    <t>DATA</t>
  </si>
  <si>
    <t>VALOR</t>
  </si>
  <si>
    <t>TAXA_SELIC</t>
  </si>
  <si>
    <t>A Meta Selic é a taxa básica de juros da economia brasileira, cujo valor alvo é definido a cada 45 dias pelo Comitê de Política Monetária (Copom) do Banco Central (BC).</t>
  </si>
  <si>
    <t>Fim dos dados</t>
  </si>
  <si>
    <t>Inicio dos dados</t>
  </si>
  <si>
    <t>IBC</t>
  </si>
  <si>
    <t>Formato</t>
  </si>
  <si>
    <t>MM/AAAA</t>
  </si>
  <si>
    <t>DD/MM/AAAA</t>
  </si>
  <si>
    <t>Numero</t>
  </si>
  <si>
    <t>TAXA_DE_CAMBIO_DOLAR</t>
  </si>
  <si>
    <t>SELIC</t>
  </si>
  <si>
    <t>taxa de câmbio livre do dólar americano (venda) no fechamento diário é o preço oficial pago em reais para adquirir um dólar no mercado cambial livre, calculado e divulgado diariamente pelo Banco Central do Brasil.</t>
  </si>
  <si>
    <t>CAMBIO_DOLAR</t>
  </si>
  <si>
    <t>IBC_DESSAZONALIZADO</t>
  </si>
  <si>
    <t>CSV</t>
  </si>
  <si>
    <t>Link de download</t>
  </si>
  <si>
    <t>O IPCA (Índice Nacional de Preços ao Consumidor Amplo) é o índice oficial da inflação no Brasil. Calculado mensalmente pelo IBGE, ele mede a variação de preços de uma cesta de produtos e serviços consumida pelas famílias urbanas, indicando a perda ou o ganho do poder de compra da moeda ao longo do tempo.</t>
  </si>
  <si>
    <t>DADOS_IPCA</t>
  </si>
  <si>
    <t>VALOR IPCA</t>
  </si>
  <si>
    <t>IPCA_VARIACAO_MENSAL%</t>
  </si>
  <si>
    <t>IPCA_VARIACAO_3MESES%</t>
  </si>
  <si>
    <t>IPCA_VARIACAO_6MESSES%</t>
  </si>
  <si>
    <t>IPCA_VARIACAO_NOANO%</t>
  </si>
  <si>
    <t>IPCA_VARIACAO_12MESES%</t>
  </si>
  <si>
    <t>D</t>
  </si>
  <si>
    <t>E</t>
  </si>
  <si>
    <t>F</t>
  </si>
  <si>
    <t>G</t>
  </si>
  <si>
    <t>PORCENTAGEM</t>
  </si>
  <si>
    <t>DADOS_PIB</t>
  </si>
  <si>
    <t>O Produto Interno Bruto (PIB) dos Municípios é o indicador econômico que mede o valor total de todos os bens e serviços finais produzidos em uma cidade específica durante um período determinado, geralmente de um ano</t>
  </si>
  <si>
    <t>DICIONARIO_SIGLAS_PIB</t>
  </si>
  <si>
    <t>INDICE</t>
  </si>
  <si>
    <t>Dicionario de Siglas e UFS</t>
  </si>
  <si>
    <t>-</t>
  </si>
  <si>
    <t>id_uf</t>
  </si>
  <si>
    <t>sigla</t>
  </si>
  <si>
    <t>nome</t>
  </si>
  <si>
    <t>regiao</t>
  </si>
  <si>
    <t>NUM</t>
  </si>
  <si>
    <t>GERAL</t>
  </si>
  <si>
    <t>DADOS_PIB_SETOR</t>
  </si>
  <si>
    <t>O Produto Interno Bruto (PIB) separado por UF e categorizado por SETOR</t>
  </si>
  <si>
    <t>Descrição</t>
  </si>
  <si>
    <t>Tipo No BigQuery</t>
  </si>
  <si>
    <t>Cobertura Temporal</t>
  </si>
  <si>
    <t>Unidade De Medida</t>
  </si>
  <si>
    <t>Observações</t>
  </si>
  <si>
    <t>ano</t>
  </si>
  <si>
    <t>Ano</t>
  </si>
  <si>
    <t>INT64</t>
  </si>
  <si>
    <t>2002 - 2020</t>
  </si>
  <si>
    <t>ID UF - IBGE 2 Dígitos</t>
  </si>
  <si>
    <t>STRING</t>
  </si>
  <si>
    <t>sigla_uf</t>
  </si>
  <si>
    <t>Sigla da Unidade da Federação</t>
  </si>
  <si>
    <t>pib</t>
  </si>
  <si>
    <t>Produto Interno Bruto a preços correntes</t>
  </si>
  <si>
    <t>brlbrl</t>
  </si>
  <si>
    <t>impostos_liquidos</t>
  </si>
  <si>
    <t>Impostos, líquidos de subsídios, sobre produtos a preços correntes</t>
  </si>
  <si>
    <t>va</t>
  </si>
  <si>
    <t>Valor adicionado bruto a preços correntes total</t>
  </si>
  <si>
    <t>va_agropecuaria</t>
  </si>
  <si>
    <t>Valor adicionado bruto a preços correntes da agropecuária</t>
  </si>
  <si>
    <t>va_industria</t>
  </si>
  <si>
    <t>Valor adicionado bruto a preços correntes da indústria</t>
  </si>
  <si>
    <t>va_servicos</t>
  </si>
  <si>
    <t>Valor adicionado bruto a preços correntes dos serviços, exclusive administração, defesa, educação e saúde públicas e seguridade social</t>
  </si>
  <si>
    <t>va_adespss</t>
  </si>
  <si>
    <t>Valor adicionado bruto a preços correntes da administração, defesa, educação e saúde públicas e seguridade social</t>
  </si>
  <si>
    <t>H</t>
  </si>
  <si>
    <t>I</t>
  </si>
  <si>
    <t>J</t>
  </si>
  <si>
    <t>Indice</t>
  </si>
  <si>
    <t>Compilado de todas as tabelas da pasta database</t>
  </si>
  <si>
    <t>EVOLUCAO_Mensal_IBOVESPA</t>
  </si>
  <si>
    <t>Valor_ibovespa</t>
  </si>
  <si>
    <t>Mes</t>
  </si>
  <si>
    <t>DD</t>
  </si>
  <si>
    <t>AAAA</t>
  </si>
  <si>
    <t>TICKER_LIST</t>
  </si>
  <si>
    <t>Lista das Tickers, com definição de nome da empresa, setor e sub setor</t>
  </si>
  <si>
    <t>Ticker</t>
  </si>
  <si>
    <t>Nome_Empresa</t>
  </si>
  <si>
    <t>Setor</t>
  </si>
  <si>
    <t>Subsetor</t>
  </si>
  <si>
    <t>Tipo_Ativo</t>
  </si>
  <si>
    <t>INFO</t>
  </si>
  <si>
    <t>IBOVESPA_1994_2020</t>
  </si>
  <si>
    <t>https://www.b3.com.br/en_us/market-data-and-indices/data-services/market-data/historical-data/equities/historical-quotes/</t>
  </si>
  <si>
    <t>Lista de transações da Ibovespa entre 1994 e 2020</t>
  </si>
  <si>
    <t>datetime</t>
  </si>
  <si>
    <t>ticker</t>
  </si>
  <si>
    <t>open</t>
  </si>
  <si>
    <t>close</t>
  </si>
  <si>
    <t>high</t>
  </si>
  <si>
    <t>low</t>
  </si>
  <si>
    <t>volume</t>
  </si>
  <si>
    <t>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</si>
</sst>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 wrapText="1"/>
    </xf>
    <xf numFmtId="14" fontId="0" fillId="0" borderId="3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2" fillId="0" borderId="1" xfId="1" applyBorder="1" applyAlignment="1">
      <alignment horizontal="center" vertic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sidra.ibge.gov.br/tabela/7060?utm_source=chatgpt.com" TargetMode="External"/><Relationship Id="rId7" Type="http://schemas.openxmlformats.org/officeDocument/2006/relationships/hyperlink" Target="https://www.b3.com.br/en_us/market-data-and-indices/data-services/market-data/historical-data/equities/historical-quotes/" TargetMode="External"/><Relationship Id="rId2" Type="http://schemas.openxmlformats.org/officeDocument/2006/relationships/hyperlink" Target="https://dadosabertos.bcb.gov.br/dataset/1-taxa-de-cambio---livre---dolar-americano-venda---diario?utm_source=chatgpt.com" TargetMode="External"/><Relationship Id="rId1" Type="http://schemas.openxmlformats.org/officeDocument/2006/relationships/hyperlink" Target="https://dadosabertos.bcb.gov.br/dataset/432-taxa-de-juros---meta-selic-definida-pelo-copom?utm_source=chatgpt.com" TargetMode="External"/><Relationship Id="rId6" Type="http://schemas.openxmlformats.org/officeDocument/2006/relationships/hyperlink" Target="https://dadosabertos.bcb.gov.br/dataset/24364-indice-de-atividade-economica-do-banco-central-ibc-br---com-ajuste-sazonal?utm_source=chatgpt.com" TargetMode="External"/><Relationship Id="rId5" Type="http://schemas.openxmlformats.org/officeDocument/2006/relationships/hyperlink" Target="https://www.b3.com.br/pt_br/market-data-e-indices/indices/indices-amplos/ibovespa.htm?utm_source=chatgpt.com" TargetMode="External"/><Relationship Id="rId4" Type="http://schemas.openxmlformats.org/officeDocument/2006/relationships/hyperlink" Target="https://sidra.ibge.gov.br/tabela/6784?utm_source=chatgpt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22AB2-825E-4068-8581-64A9CC11D332}">
  <dimension ref="A1:H12"/>
  <sheetViews>
    <sheetView showGridLines="0" tabSelected="1" zoomScale="80" zoomScaleNormal="80" workbookViewId="0">
      <selection activeCell="B12" sqref="B12"/>
    </sheetView>
  </sheetViews>
  <sheetFormatPr defaultRowHeight="14.4" x14ac:dyDescent="0.3"/>
  <cols>
    <col min="1" max="1" width="3" style="16" bestFit="1" customWidth="1"/>
    <col min="2" max="2" width="30" style="17" customWidth="1"/>
    <col min="3" max="3" width="5.77734375" style="6" bestFit="1" customWidth="1"/>
    <col min="4" max="4" width="114" style="6" bestFit="1" customWidth="1"/>
    <col min="5" max="5" width="30" style="6" customWidth="1"/>
    <col min="6" max="6" width="105.21875" style="3" customWidth="1"/>
    <col min="7" max="8" width="18.6640625" style="6" customWidth="1"/>
    <col min="9" max="16384" width="8.88671875" style="1"/>
  </cols>
  <sheetData>
    <row r="1" spans="1:8" ht="15" thickBot="1" x14ac:dyDescent="0.35">
      <c r="A1" s="15" t="s">
        <v>0</v>
      </c>
      <c r="B1" s="12" t="s">
        <v>42</v>
      </c>
      <c r="C1" s="10" t="s">
        <v>1</v>
      </c>
      <c r="D1" s="10" t="s">
        <v>43</v>
      </c>
      <c r="E1" s="10" t="s">
        <v>2</v>
      </c>
      <c r="F1" s="10" t="s">
        <v>18</v>
      </c>
      <c r="G1" s="10" t="s">
        <v>31</v>
      </c>
      <c r="H1" s="11" t="s">
        <v>30</v>
      </c>
    </row>
    <row r="2" spans="1:8" x14ac:dyDescent="0.3">
      <c r="A2" s="16">
        <v>1</v>
      </c>
      <c r="B2" s="17" t="s">
        <v>102</v>
      </c>
      <c r="C2" s="6" t="s">
        <v>62</v>
      </c>
      <c r="D2" s="6" t="s">
        <v>62</v>
      </c>
      <c r="E2" s="6" t="s">
        <v>60</v>
      </c>
      <c r="F2" s="3" t="s">
        <v>103</v>
      </c>
      <c r="G2" s="6" t="s">
        <v>62</v>
      </c>
      <c r="H2" s="6" t="s">
        <v>62</v>
      </c>
    </row>
    <row r="3" spans="1:8" ht="28.8" x14ac:dyDescent="0.3">
      <c r="A3" s="16">
        <v>2</v>
      </c>
      <c r="B3" s="13" t="s">
        <v>41</v>
      </c>
      <c r="C3" s="7" t="s">
        <v>3</v>
      </c>
      <c r="D3" s="8" t="s">
        <v>4</v>
      </c>
      <c r="E3" s="7" t="s">
        <v>5</v>
      </c>
      <c r="F3" s="7" t="s">
        <v>19</v>
      </c>
      <c r="G3" s="9">
        <v>37622</v>
      </c>
      <c r="H3" s="9">
        <v>46143</v>
      </c>
    </row>
    <row r="4" spans="1:8" ht="28.8" x14ac:dyDescent="0.3">
      <c r="A4" s="16">
        <v>3</v>
      </c>
      <c r="B4" s="14" t="s">
        <v>38</v>
      </c>
      <c r="C4" s="3" t="s">
        <v>3</v>
      </c>
      <c r="D4" s="4" t="s">
        <v>6</v>
      </c>
      <c r="E4" s="3" t="s">
        <v>7</v>
      </c>
      <c r="F4" s="3" t="s">
        <v>29</v>
      </c>
      <c r="G4" s="9">
        <v>37622</v>
      </c>
      <c r="H4" s="9">
        <v>46173</v>
      </c>
    </row>
    <row r="5" spans="1:8" ht="28.8" x14ac:dyDescent="0.3">
      <c r="A5" s="16">
        <v>4</v>
      </c>
      <c r="B5" s="14" t="s">
        <v>37</v>
      </c>
      <c r="C5" s="3" t="s">
        <v>3</v>
      </c>
      <c r="D5" s="4" t="s">
        <v>8</v>
      </c>
      <c r="E5" s="3" t="s">
        <v>9</v>
      </c>
      <c r="F5" s="3" t="s">
        <v>39</v>
      </c>
      <c r="G5" s="9">
        <v>37622</v>
      </c>
      <c r="H5" s="9">
        <v>46173</v>
      </c>
    </row>
    <row r="6" spans="1:8" ht="43.2" x14ac:dyDescent="0.3">
      <c r="A6" s="16">
        <v>5</v>
      </c>
      <c r="B6" s="14" t="s">
        <v>45</v>
      </c>
      <c r="C6" s="3" t="s">
        <v>10</v>
      </c>
      <c r="D6" s="4" t="s">
        <v>11</v>
      </c>
      <c r="E6" s="3" t="s">
        <v>12</v>
      </c>
      <c r="F6" s="3" t="s">
        <v>44</v>
      </c>
      <c r="G6" s="5">
        <v>34516</v>
      </c>
      <c r="H6" s="5">
        <v>46204</v>
      </c>
    </row>
    <row r="7" spans="1:8" ht="28.8" x14ac:dyDescent="0.3">
      <c r="A7" s="16">
        <v>6</v>
      </c>
      <c r="B7" s="14" t="s">
        <v>57</v>
      </c>
      <c r="C7" s="3" t="s">
        <v>10</v>
      </c>
      <c r="D7" s="4" t="s">
        <v>13</v>
      </c>
      <c r="E7" s="3" t="s">
        <v>14</v>
      </c>
      <c r="F7" s="3" t="s">
        <v>58</v>
      </c>
      <c r="G7" s="6">
        <v>2002</v>
      </c>
      <c r="H7" s="6">
        <v>2023</v>
      </c>
    </row>
    <row r="8" spans="1:8" x14ac:dyDescent="0.3">
      <c r="A8" s="16">
        <v>7</v>
      </c>
      <c r="B8" s="14" t="s">
        <v>104</v>
      </c>
      <c r="C8" s="3" t="s">
        <v>15</v>
      </c>
      <c r="D8" s="4" t="s">
        <v>16</v>
      </c>
      <c r="E8" s="2" t="s">
        <v>17</v>
      </c>
      <c r="G8" s="6">
        <v>2002</v>
      </c>
      <c r="H8" s="6">
        <v>2026</v>
      </c>
    </row>
    <row r="9" spans="1:8" x14ac:dyDescent="0.3">
      <c r="A9" s="16">
        <v>8</v>
      </c>
      <c r="B9" s="17" t="s">
        <v>59</v>
      </c>
      <c r="C9" s="6" t="str">
        <f>$C$7</f>
        <v>IBGE</v>
      </c>
      <c r="D9" s="6" t="s">
        <v>62</v>
      </c>
      <c r="E9" s="6" t="s">
        <v>60</v>
      </c>
      <c r="F9" s="3" t="s">
        <v>61</v>
      </c>
      <c r="G9" s="6" t="s">
        <v>62</v>
      </c>
      <c r="H9" s="6" t="s">
        <v>62</v>
      </c>
    </row>
    <row r="10" spans="1:8" x14ac:dyDescent="0.3">
      <c r="A10" s="16">
        <v>9</v>
      </c>
      <c r="B10" s="17" t="s">
        <v>69</v>
      </c>
      <c r="C10" s="3" t="s">
        <v>10</v>
      </c>
      <c r="D10" s="6" t="s">
        <v>62</v>
      </c>
      <c r="E10" s="3" t="s">
        <v>14</v>
      </c>
      <c r="F10" s="3" t="s">
        <v>70</v>
      </c>
      <c r="G10" s="6">
        <v>2002</v>
      </c>
      <c r="H10" s="6">
        <v>2020</v>
      </c>
    </row>
    <row r="11" spans="1:8" x14ac:dyDescent="0.3">
      <c r="A11" s="16">
        <v>10</v>
      </c>
      <c r="B11" s="17" t="s">
        <v>109</v>
      </c>
      <c r="C11" s="6" t="s">
        <v>62</v>
      </c>
      <c r="D11" s="6" t="s">
        <v>62</v>
      </c>
      <c r="E11" s="6" t="s">
        <v>60</v>
      </c>
      <c r="F11" s="3" t="s">
        <v>110</v>
      </c>
      <c r="G11" s="6" t="s">
        <v>62</v>
      </c>
      <c r="H11" s="6" t="s">
        <v>62</v>
      </c>
    </row>
    <row r="12" spans="1:8" x14ac:dyDescent="0.3">
      <c r="A12" s="16">
        <v>11</v>
      </c>
      <c r="B12" s="17" t="s">
        <v>117</v>
      </c>
      <c r="C12" s="6" t="s">
        <v>15</v>
      </c>
      <c r="D12" s="18" t="s">
        <v>118</v>
      </c>
      <c r="E12" s="2" t="s">
        <v>17</v>
      </c>
      <c r="F12" s="3" t="s">
        <v>119</v>
      </c>
      <c r="G12" s="6">
        <v>1994</v>
      </c>
      <c r="H12" s="6">
        <v>2020</v>
      </c>
    </row>
  </sheetData>
  <hyperlinks>
    <hyperlink ref="D4" r:id="rId1" display="https://dadosabertos.bcb.gov.br/dataset/432-taxa-de-juros---meta-selic-definida-pelo-copom?utm_source=chatgpt.com" xr:uid="{D52E8018-097C-430E-B908-9C4F0E2D5897}"/>
    <hyperlink ref="D5" r:id="rId2" display="https://dadosabertos.bcb.gov.br/dataset/1-taxa-de-cambio---livre---dolar-americano-venda---diario?utm_source=chatgpt.com" xr:uid="{111FA3EF-9088-466C-97CE-96C35621B7DA}"/>
    <hyperlink ref="D6" r:id="rId3" display="https://sidra.ibge.gov.br/tabela/7060?utm_source=chatgpt.com" xr:uid="{F02ADC18-F46B-4808-B81B-90C8FFFF9D58}"/>
    <hyperlink ref="D7" r:id="rId4" display="https://sidra.ibge.gov.br/tabela/6784?utm_source=chatgpt.com" xr:uid="{D678B71E-8B62-42DD-B491-8E6EE6851748}"/>
    <hyperlink ref="D8" r:id="rId5" display="https://www.b3.com.br/pt_br/market-data-e-indices/indices/indices-amplos/ibovespa.htm?utm_source=chatgpt.com" xr:uid="{CC63B7A2-3AE8-4D81-B388-CFFCAA08AEA5}"/>
    <hyperlink ref="D3" r:id="rId6" display="https://dadosabertos.bcb.gov.br/dataset/24364-indice-de-atividade-economica-do-banco-central-ibc-br---com-ajuste-sazonal?utm_source=chatgpt.com" xr:uid="{F99995C8-F62F-46E3-8CEC-A5DA6C003F48}"/>
    <hyperlink ref="D12" r:id="rId7" xr:uid="{6B4C7A3D-C46E-4EE7-80FE-1A5B5264B941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CFA90-7551-4695-8FA7-073A1A53F5CA}">
  <dimension ref="A1:D8"/>
  <sheetViews>
    <sheetView workbookViewId="0">
      <selection activeCell="D4" sqref="D4:D8"/>
    </sheetView>
  </sheetViews>
  <sheetFormatPr defaultRowHeight="14.4" x14ac:dyDescent="0.3"/>
  <cols>
    <col min="2" max="2" width="14.10937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120</v>
      </c>
      <c r="C2" t="s">
        <v>26</v>
      </c>
      <c r="D2" t="s">
        <v>35</v>
      </c>
    </row>
    <row r="3" spans="1:4" x14ac:dyDescent="0.3">
      <c r="A3" t="s">
        <v>24</v>
      </c>
      <c r="B3" t="s">
        <v>121</v>
      </c>
      <c r="C3" t="s">
        <v>116</v>
      </c>
      <c r="D3" t="s">
        <v>68</v>
      </c>
    </row>
    <row r="4" spans="1:4" x14ac:dyDescent="0.3">
      <c r="A4" t="s">
        <v>25</v>
      </c>
      <c r="B4" t="s">
        <v>122</v>
      </c>
      <c r="C4" t="s">
        <v>27</v>
      </c>
      <c r="D4" t="s">
        <v>127</v>
      </c>
    </row>
    <row r="5" spans="1:4" x14ac:dyDescent="0.3">
      <c r="A5" t="s">
        <v>52</v>
      </c>
      <c r="B5" t="s">
        <v>123</v>
      </c>
      <c r="C5" t="s">
        <v>27</v>
      </c>
      <c r="D5" t="s">
        <v>127</v>
      </c>
    </row>
    <row r="6" spans="1:4" x14ac:dyDescent="0.3">
      <c r="A6" t="s">
        <v>53</v>
      </c>
      <c r="B6" t="s">
        <v>124</v>
      </c>
      <c r="C6" t="s">
        <v>27</v>
      </c>
      <c r="D6" t="s">
        <v>127</v>
      </c>
    </row>
    <row r="7" spans="1:4" x14ac:dyDescent="0.3">
      <c r="A7" t="s">
        <v>54</v>
      </c>
      <c r="B7" t="s">
        <v>125</v>
      </c>
      <c r="C7" t="s">
        <v>27</v>
      </c>
      <c r="D7" t="s">
        <v>127</v>
      </c>
    </row>
    <row r="8" spans="1:4" x14ac:dyDescent="0.3">
      <c r="A8" t="s">
        <v>55</v>
      </c>
      <c r="B8" t="s">
        <v>126</v>
      </c>
      <c r="C8" t="s">
        <v>27</v>
      </c>
      <c r="D8" t="s">
        <v>127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05D9D-D44C-4842-B271-86A12C7ABF44}">
  <dimension ref="A1:D6"/>
  <sheetViews>
    <sheetView workbookViewId="0">
      <selection activeCell="C8" sqref="C8:C9"/>
    </sheetView>
  </sheetViews>
  <sheetFormatPr defaultRowHeight="14.4" x14ac:dyDescent="0.3"/>
  <cols>
    <col min="2" max="2" width="14.10937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111</v>
      </c>
      <c r="C2" t="s">
        <v>116</v>
      </c>
      <c r="D2" t="s">
        <v>68</v>
      </c>
    </row>
    <row r="3" spans="1:4" x14ac:dyDescent="0.3">
      <c r="A3" t="s">
        <v>24</v>
      </c>
      <c r="B3" t="s">
        <v>112</v>
      </c>
      <c r="C3" t="s">
        <v>116</v>
      </c>
      <c r="D3" t="s">
        <v>68</v>
      </c>
    </row>
    <row r="4" spans="1:4" x14ac:dyDescent="0.3">
      <c r="A4" t="s">
        <v>25</v>
      </c>
      <c r="B4" t="s">
        <v>113</v>
      </c>
      <c r="C4" t="s">
        <v>116</v>
      </c>
      <c r="D4" t="s">
        <v>68</v>
      </c>
    </row>
    <row r="5" spans="1:4" x14ac:dyDescent="0.3">
      <c r="A5" t="s">
        <v>52</v>
      </c>
      <c r="B5" t="s">
        <v>114</v>
      </c>
      <c r="C5" t="s">
        <v>116</v>
      </c>
      <c r="D5" t="s">
        <v>68</v>
      </c>
    </row>
    <row r="6" spans="1:4" x14ac:dyDescent="0.3">
      <c r="A6" t="s">
        <v>53</v>
      </c>
      <c r="B6" t="s">
        <v>115</v>
      </c>
      <c r="C6" t="s">
        <v>116</v>
      </c>
      <c r="D6" t="s">
        <v>68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D9F82-B4B0-468B-A26B-6B8D740F27FD}">
  <dimension ref="A1:D4"/>
  <sheetViews>
    <sheetView workbookViewId="0">
      <selection activeCell="K10" sqref="K10"/>
    </sheetView>
  </sheetViews>
  <sheetFormatPr defaultRowHeight="14.4" x14ac:dyDescent="0.3"/>
  <cols>
    <col min="2" max="2" width="13.664062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106</v>
      </c>
      <c r="C2" t="s">
        <v>26</v>
      </c>
      <c r="D2" t="s">
        <v>107</v>
      </c>
    </row>
    <row r="3" spans="1:4" x14ac:dyDescent="0.3">
      <c r="A3" t="s">
        <v>24</v>
      </c>
      <c r="B3" t="s">
        <v>77</v>
      </c>
      <c r="C3" t="s">
        <v>26</v>
      </c>
      <c r="D3" t="s">
        <v>108</v>
      </c>
    </row>
    <row r="4" spans="1:4" x14ac:dyDescent="0.3">
      <c r="A4" t="s">
        <v>25</v>
      </c>
      <c r="B4" t="s">
        <v>105</v>
      </c>
      <c r="C4" t="s">
        <v>27</v>
      </c>
      <c r="D4" t="s">
        <v>36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56204-7B37-448E-8693-D1454352B252}">
  <dimension ref="A1:G11"/>
  <sheetViews>
    <sheetView workbookViewId="0">
      <selection activeCell="A12" sqref="A12"/>
    </sheetView>
  </sheetViews>
  <sheetFormatPr defaultRowHeight="14.4" x14ac:dyDescent="0.3"/>
  <cols>
    <col min="3" max="3" width="113.109375" bestFit="1" customWidth="1"/>
    <col min="4" max="4" width="15.33203125" bestFit="1" customWidth="1"/>
    <col min="5" max="5" width="17.6640625" bestFit="1" customWidth="1"/>
    <col min="6" max="6" width="17.21875" bestFit="1" customWidth="1"/>
    <col min="7" max="7" width="11.44140625" bestFit="1" customWidth="1"/>
  </cols>
  <sheetData>
    <row r="1" spans="1:7" x14ac:dyDescent="0.3">
      <c r="A1" t="s">
        <v>0</v>
      </c>
      <c r="B1" t="s">
        <v>22</v>
      </c>
      <c r="C1" t="s">
        <v>71</v>
      </c>
      <c r="D1" t="s">
        <v>72</v>
      </c>
      <c r="E1" t="s">
        <v>73</v>
      </c>
      <c r="F1" t="s">
        <v>74</v>
      </c>
    </row>
    <row r="2" spans="1:7" x14ac:dyDescent="0.3">
      <c r="A2" t="s">
        <v>23</v>
      </c>
      <c r="B2" t="s">
        <v>76</v>
      </c>
      <c r="C2" t="s">
        <v>77</v>
      </c>
      <c r="D2" t="s">
        <v>78</v>
      </c>
      <c r="E2" t="s">
        <v>79</v>
      </c>
    </row>
    <row r="3" spans="1:7" x14ac:dyDescent="0.3">
      <c r="A3" t="s">
        <v>24</v>
      </c>
      <c r="B3" t="s">
        <v>63</v>
      </c>
      <c r="C3" t="s">
        <v>80</v>
      </c>
      <c r="D3" t="s">
        <v>81</v>
      </c>
      <c r="E3" t="s">
        <v>79</v>
      </c>
    </row>
    <row r="4" spans="1:7" x14ac:dyDescent="0.3">
      <c r="A4" t="s">
        <v>25</v>
      </c>
      <c r="B4" t="s">
        <v>82</v>
      </c>
      <c r="C4" t="s">
        <v>83</v>
      </c>
      <c r="D4" t="s">
        <v>81</v>
      </c>
      <c r="E4" t="s">
        <v>79</v>
      </c>
    </row>
    <row r="5" spans="1:7" x14ac:dyDescent="0.3">
      <c r="A5" t="s">
        <v>52</v>
      </c>
      <c r="B5" t="s">
        <v>84</v>
      </c>
      <c r="C5" t="s">
        <v>85</v>
      </c>
      <c r="D5" t="s">
        <v>78</v>
      </c>
      <c r="E5" t="s">
        <v>79</v>
      </c>
      <c r="F5" t="s">
        <v>86</v>
      </c>
    </row>
    <row r="6" spans="1:7" x14ac:dyDescent="0.3">
      <c r="A6" t="s">
        <v>53</v>
      </c>
      <c r="B6" t="s">
        <v>87</v>
      </c>
      <c r="C6" t="s">
        <v>88</v>
      </c>
      <c r="D6" t="s">
        <v>78</v>
      </c>
      <c r="E6" t="s">
        <v>79</v>
      </c>
      <c r="F6" t="s">
        <v>86</v>
      </c>
    </row>
    <row r="7" spans="1:7" x14ac:dyDescent="0.3">
      <c r="A7" t="s">
        <v>54</v>
      </c>
      <c r="B7" t="s">
        <v>89</v>
      </c>
      <c r="C7" t="s">
        <v>90</v>
      </c>
      <c r="D7" t="s">
        <v>78</v>
      </c>
      <c r="E7" t="s">
        <v>79</v>
      </c>
      <c r="F7" t="s">
        <v>86</v>
      </c>
    </row>
    <row r="8" spans="1:7" x14ac:dyDescent="0.3">
      <c r="A8" t="s">
        <v>55</v>
      </c>
      <c r="B8" t="s">
        <v>91</v>
      </c>
      <c r="C8" t="s">
        <v>92</v>
      </c>
      <c r="D8" t="s">
        <v>78</v>
      </c>
      <c r="E8" t="s">
        <v>79</v>
      </c>
      <c r="F8" t="s">
        <v>86</v>
      </c>
      <c r="G8" t="s">
        <v>75</v>
      </c>
    </row>
    <row r="9" spans="1:7" x14ac:dyDescent="0.3">
      <c r="A9" t="s">
        <v>99</v>
      </c>
      <c r="B9" t="s">
        <v>93</v>
      </c>
      <c r="C9" t="s">
        <v>94</v>
      </c>
      <c r="D9" t="s">
        <v>78</v>
      </c>
      <c r="E9" t="s">
        <v>79</v>
      </c>
      <c r="F9" t="s">
        <v>86</v>
      </c>
    </row>
    <row r="10" spans="1:7" x14ac:dyDescent="0.3">
      <c r="A10" t="s">
        <v>100</v>
      </c>
      <c r="B10" t="s">
        <v>95</v>
      </c>
      <c r="C10" t="s">
        <v>96</v>
      </c>
      <c r="D10" t="s">
        <v>78</v>
      </c>
      <c r="E10" t="s">
        <v>79</v>
      </c>
      <c r="F10" t="s">
        <v>86</v>
      </c>
    </row>
    <row r="11" spans="1:7" x14ac:dyDescent="0.3">
      <c r="A11" t="s">
        <v>101</v>
      </c>
      <c r="B11" t="s">
        <v>97</v>
      </c>
      <c r="C11" t="s">
        <v>98</v>
      </c>
      <c r="D11" t="s">
        <v>78</v>
      </c>
      <c r="E11" t="s">
        <v>79</v>
      </c>
      <c r="F11" t="s">
        <v>86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BF791-0ECD-4EB6-972B-7F6095F8A3C3}">
  <dimension ref="A1:D5"/>
  <sheetViews>
    <sheetView workbookViewId="0">
      <selection sqref="A1:D5"/>
    </sheetView>
  </sheetViews>
  <sheetFormatPr defaultRowHeight="14.4" x14ac:dyDescent="0.3"/>
  <cols>
    <col min="2" max="2" width="14.664062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63</v>
      </c>
      <c r="C2" t="s">
        <v>67</v>
      </c>
      <c r="D2" t="s">
        <v>0</v>
      </c>
    </row>
    <row r="3" spans="1:4" x14ac:dyDescent="0.3">
      <c r="A3" t="s">
        <v>24</v>
      </c>
      <c r="B3" t="s">
        <v>64</v>
      </c>
      <c r="C3" t="s">
        <v>68</v>
      </c>
      <c r="D3" t="s">
        <v>68</v>
      </c>
    </row>
    <row r="4" spans="1:4" x14ac:dyDescent="0.3">
      <c r="A4" t="s">
        <v>25</v>
      </c>
      <c r="B4" t="s">
        <v>65</v>
      </c>
      <c r="C4" t="s">
        <v>68</v>
      </c>
      <c r="D4" t="s">
        <v>68</v>
      </c>
    </row>
    <row r="5" spans="1:4" x14ac:dyDescent="0.3">
      <c r="A5" t="s">
        <v>52</v>
      </c>
      <c r="B5" t="s">
        <v>66</v>
      </c>
      <c r="C5" t="s">
        <v>68</v>
      </c>
      <c r="D5" t="s">
        <v>68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CA9D6-C178-499E-8197-9B514ECF8BEF}">
  <dimension ref="A1:D3"/>
  <sheetViews>
    <sheetView workbookViewId="0">
      <selection activeCell="C3" sqref="C3:D3"/>
    </sheetView>
  </sheetViews>
  <sheetFormatPr defaultRowHeight="14.4" x14ac:dyDescent="0.3"/>
  <cols>
    <col min="2" max="2" width="14.664062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21</v>
      </c>
      <c r="C2" t="s">
        <v>26</v>
      </c>
      <c r="D2" t="s">
        <v>35</v>
      </c>
    </row>
    <row r="3" spans="1:4" x14ac:dyDescent="0.3">
      <c r="A3" t="s">
        <v>24</v>
      </c>
      <c r="B3" t="s">
        <v>40</v>
      </c>
      <c r="C3" t="s">
        <v>27</v>
      </c>
      <c r="D3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FCCD4-D873-4C3B-9F3B-11AF6DA7F820}">
  <dimension ref="A1:D3"/>
  <sheetViews>
    <sheetView workbookViewId="0">
      <selection activeCell="D3" sqref="D3"/>
    </sheetView>
  </sheetViews>
  <sheetFormatPr defaultRowHeight="14.4" x14ac:dyDescent="0.3"/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21</v>
      </c>
      <c r="C2" t="s">
        <v>26</v>
      </c>
      <c r="D2" t="s">
        <v>34</v>
      </c>
    </row>
    <row r="3" spans="1:4" x14ac:dyDescent="0.3">
      <c r="A3" t="s">
        <v>24</v>
      </c>
      <c r="B3" t="s">
        <v>32</v>
      </c>
      <c r="C3" t="s">
        <v>27</v>
      </c>
      <c r="D3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92614-C718-4E40-9EBC-6B52C2D75BA8}">
  <dimension ref="A1:D3"/>
  <sheetViews>
    <sheetView workbookViewId="0">
      <selection activeCell="D3" sqref="D3"/>
    </sheetView>
  </sheetViews>
  <sheetFormatPr defaultRowHeight="14.4" x14ac:dyDescent="0.3"/>
  <cols>
    <col min="2" max="2" width="10.6640625" bestFit="1" customWidth="1"/>
    <col min="4" max="4" width="12.7773437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21</v>
      </c>
      <c r="C2" t="s">
        <v>26</v>
      </c>
      <c r="D2" t="s">
        <v>35</v>
      </c>
    </row>
    <row r="3" spans="1:4" x14ac:dyDescent="0.3">
      <c r="A3" t="s">
        <v>24</v>
      </c>
      <c r="B3" t="s">
        <v>28</v>
      </c>
      <c r="C3" t="s">
        <v>27</v>
      </c>
      <c r="D3" t="s">
        <v>56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8935-D555-496B-87D2-54AF4BABFF6D}">
  <dimension ref="A1:D8"/>
  <sheetViews>
    <sheetView workbookViewId="0">
      <selection activeCell="F15" sqref="F15"/>
    </sheetView>
  </sheetViews>
  <sheetFormatPr defaultRowHeight="14.4" x14ac:dyDescent="0.3"/>
  <cols>
    <col min="2" max="2" width="24.5546875" bestFit="1" customWidth="1"/>
  </cols>
  <sheetData>
    <row r="1" spans="1:4" x14ac:dyDescent="0.3">
      <c r="A1" t="s">
        <v>0</v>
      </c>
      <c r="B1" t="s">
        <v>22</v>
      </c>
      <c r="C1" t="s">
        <v>20</v>
      </c>
      <c r="D1" t="s">
        <v>33</v>
      </c>
    </row>
    <row r="2" spans="1:4" x14ac:dyDescent="0.3">
      <c r="A2" t="s">
        <v>23</v>
      </c>
      <c r="B2" t="s">
        <v>26</v>
      </c>
      <c r="C2" t="s">
        <v>26</v>
      </c>
      <c r="D2" t="s">
        <v>34</v>
      </c>
    </row>
    <row r="3" spans="1:4" x14ac:dyDescent="0.3">
      <c r="A3" t="s">
        <v>24</v>
      </c>
      <c r="B3" t="s">
        <v>46</v>
      </c>
      <c r="C3" t="s">
        <v>27</v>
      </c>
      <c r="D3" t="s">
        <v>36</v>
      </c>
    </row>
    <row r="4" spans="1:4" x14ac:dyDescent="0.3">
      <c r="A4" t="s">
        <v>25</v>
      </c>
      <c r="B4" t="s">
        <v>47</v>
      </c>
      <c r="C4" t="s">
        <v>27</v>
      </c>
      <c r="D4" t="s">
        <v>56</v>
      </c>
    </row>
    <row r="5" spans="1:4" x14ac:dyDescent="0.3">
      <c r="A5" t="s">
        <v>52</v>
      </c>
      <c r="B5" t="s">
        <v>48</v>
      </c>
      <c r="C5" t="s">
        <v>27</v>
      </c>
      <c r="D5" t="s">
        <v>56</v>
      </c>
    </row>
    <row r="6" spans="1:4" x14ac:dyDescent="0.3">
      <c r="A6" t="s">
        <v>53</v>
      </c>
      <c r="B6" t="s">
        <v>49</v>
      </c>
      <c r="C6" t="s">
        <v>27</v>
      </c>
      <c r="D6" t="s">
        <v>56</v>
      </c>
    </row>
    <row r="7" spans="1:4" x14ac:dyDescent="0.3">
      <c r="A7" t="s">
        <v>54</v>
      </c>
      <c r="B7" t="s">
        <v>50</v>
      </c>
      <c r="C7" t="s">
        <v>27</v>
      </c>
      <c r="D7" t="s">
        <v>56</v>
      </c>
    </row>
    <row r="8" spans="1:4" x14ac:dyDescent="0.3">
      <c r="A8" t="s">
        <v>55</v>
      </c>
      <c r="B8" t="s">
        <v>51</v>
      </c>
      <c r="C8" t="s">
        <v>27</v>
      </c>
      <c r="D8" t="s">
        <v>56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INDICE</vt:lpstr>
      <vt:lpstr>IBOVESPA_1994_2020</vt:lpstr>
      <vt:lpstr>TICKER_LIST</vt:lpstr>
      <vt:lpstr>EVOLUCAO_Mensal_IBOVESPA</vt:lpstr>
      <vt:lpstr>DADOS_PIB_SETOR</vt:lpstr>
      <vt:lpstr>DICIONARIO_SIGLAS_PIB</vt:lpstr>
      <vt:lpstr>TAXA_DE_CAMBIO_DOLAR</vt:lpstr>
      <vt:lpstr>IBC-Br dessazonalizado</vt:lpstr>
      <vt:lpstr>SELIC</vt:lpstr>
      <vt:lpstr>DADOS_IPCA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Jackson</dc:creator>
  <cp:lastModifiedBy>Jackson</cp:lastModifiedBy>
  <dcterms:created xsi:type="dcterms:W3CDTF">2026-08-16T18:45:36Z</dcterms:created>
  <dcterms:modified xsi:type="dcterms:W3CDTF">2026-08-17T00:40:13Z</dcterms:modified>
</cp:coreProperties>
</file>